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odegnan\Data Analytics\Microsoft Excel\"/>
    </mc:Choice>
  </mc:AlternateContent>
  <xr:revisionPtr revIDLastSave="0" documentId="13_ncr:1_{3D7B37C2-DB3D-432E-A6F9-1913D8281B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tient_Data" sheetId="1" r:id="rId1"/>
    <sheet name="Questions" sheetId="3" r:id="rId2"/>
    <sheet name="Answers" sheetId="2" r:id="rId3"/>
  </sheets>
  <definedNames>
    <definedName name="Bills">Patient_Data!$K$2:$K$41</definedName>
    <definedName name="Department">Patient_Data!$E$2:$E$41</definedName>
    <definedName name="Dept">Patient_Data!$E$2:$E$41</definedName>
    <definedName name="Gender">Patient_Data!$D$2:$D$41</definedName>
    <definedName name="Insurance">Patient_Data!$J$2:$J$41</definedName>
    <definedName name="Stay">Patient_Data!$M$2:$M$41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3" i="1" l="1"/>
  <c r="T2" i="1"/>
  <c r="S2" i="1"/>
  <c r="H63" i="1"/>
  <c r="H61" i="1"/>
  <c r="H60" i="1"/>
  <c r="H58" i="1"/>
  <c r="H57" i="1"/>
  <c r="H55" i="1"/>
  <c r="H54" i="1"/>
  <c r="H52" i="1"/>
  <c r="H51" i="1"/>
  <c r="J49" i="1"/>
  <c r="H50" i="1"/>
  <c r="I49" i="1"/>
  <c r="I48" i="1"/>
  <c r="H49" i="1"/>
  <c r="H48" i="1"/>
  <c r="H47" i="1"/>
</calcChain>
</file>

<file path=xl/sharedStrings.xml><?xml version="1.0" encoding="utf-8"?>
<sst xmlns="http://schemas.openxmlformats.org/spreadsheetml/2006/main" count="458" uniqueCount="225">
  <si>
    <t>Patient_ID</t>
  </si>
  <si>
    <t>Patient_Name</t>
  </si>
  <si>
    <t>Age</t>
  </si>
  <si>
    <t>Gender</t>
  </si>
  <si>
    <t>Department</t>
  </si>
  <si>
    <t>Diagnosis</t>
  </si>
  <si>
    <t>Admission_Date</t>
  </si>
  <si>
    <t>Discharge_Date</t>
  </si>
  <si>
    <t>Doctor</t>
  </si>
  <si>
    <t>Insurance_Type</t>
  </si>
  <si>
    <t>Bill_Amount</t>
  </si>
  <si>
    <t>Payment_Status</t>
  </si>
  <si>
    <t>Length_of_Stay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</si>
  <si>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</si>
  <si>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</si>
  <si>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</si>
  <si>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</si>
  <si>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</si>
  <si>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</si>
  <si>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</si>
  <si>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</si>
  <si>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</si>
  <si>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</si>
  <si>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</si>
  <si>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</si>
  <si>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</si>
  <si>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</si>
  <si>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</si>
  <si>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</si>
  <si>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</si>
  <si>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</si>
  <si>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</si>
  <si>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</si>
  <si>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</si>
  <si>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</si>
  <si>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</si>
  <si>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</si>
  <si>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</si>
  <si>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</si>
  <si>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</si>
  <si>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</si>
  <si>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</si>
  <si>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</si>
  <si>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</si>
  <si>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</si>
  <si>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</si>
  <si>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</si>
  <si>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</si>
  <si>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</si>
  <si>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</si>
  <si>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</si>
  <si>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</si>
  <si>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</si>
  <si>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Aarav Sharma</t>
  </si>
  <si>
    <t>Diya Patel</t>
  </si>
  <si>
    <t>Rohan Kumar</t>
  </si>
  <si>
    <t>Ananya Reddy</t>
  </si>
  <si>
    <t>Vikram Singh</t>
  </si>
  <si>
    <t>Meera Nair</t>
  </si>
  <si>
    <t>Arjun Verma</t>
  </si>
  <si>
    <t>Sneha Iyer</t>
  </si>
  <si>
    <t>Karan Shah</t>
  </si>
  <si>
    <t>Priya Das</t>
  </si>
  <si>
    <t>Aditya Rao</t>
  </si>
  <si>
    <t>Kavya Menon</t>
  </si>
  <si>
    <t>Raj Malhotra</t>
  </si>
  <si>
    <t>Ishita Gupta</t>
  </si>
  <si>
    <t>Manish Yadav</t>
  </si>
  <si>
    <t>Neha Joshi</t>
  </si>
  <si>
    <t>Rahul Bose</t>
  </si>
  <si>
    <t>Simran Kaur</t>
  </si>
  <si>
    <t>Varun Kapoor</t>
  </si>
  <si>
    <t>Pooja Agarwal</t>
  </si>
  <si>
    <t>Harsh Jain</t>
  </si>
  <si>
    <t>Nandini Rao</t>
  </si>
  <si>
    <t>Siddharth Roy</t>
  </si>
  <si>
    <t>Shreya Kapoor</t>
  </si>
  <si>
    <t>Abhishek Das</t>
  </si>
  <si>
    <t>Anjali Shah</t>
  </si>
  <si>
    <t>Mohit Verma</t>
  </si>
  <si>
    <t>Riya Menon</t>
  </si>
  <si>
    <t>Deepak Nair</t>
  </si>
  <si>
    <t>Anu Reddy</t>
  </si>
  <si>
    <t>Sameer Khan</t>
  </si>
  <si>
    <t>Divya Iyer</t>
  </si>
  <si>
    <t>Akash Gupta</t>
  </si>
  <si>
    <t>Lakshmi Rao</t>
  </si>
  <si>
    <t>Nikhil Sharma</t>
  </si>
  <si>
    <t>Swati Patel</t>
  </si>
  <si>
    <t>Varun Reddy</t>
  </si>
  <si>
    <t>Rekha Menon</t>
  </si>
  <si>
    <t>Arvind Joshi</t>
  </si>
  <si>
    <t>Sonali Shah</t>
  </si>
  <si>
    <t>Male</t>
  </si>
  <si>
    <t>Female</t>
  </si>
  <si>
    <t>Cardiology</t>
  </si>
  <si>
    <t>Orthopedics</t>
  </si>
  <si>
    <t>General Medicine</t>
  </si>
  <si>
    <t>Neurology</t>
  </si>
  <si>
    <t>Dermatology</t>
  </si>
  <si>
    <t>Hypertension</t>
  </si>
  <si>
    <t>Fracture</t>
  </si>
  <si>
    <t>Diabetes</t>
  </si>
  <si>
    <t>Chest Pain</t>
  </si>
  <si>
    <t>Migraine</t>
  </si>
  <si>
    <t>Asthma</t>
  </si>
  <si>
    <t>Heart Disease</t>
  </si>
  <si>
    <t>Skin Allergy</t>
  </si>
  <si>
    <t>Arthritis</t>
  </si>
  <si>
    <t>Fever</t>
  </si>
  <si>
    <t>Seizure Disorder</t>
  </si>
  <si>
    <t>Back Pain</t>
  </si>
  <si>
    <t>Psoriasis</t>
  </si>
  <si>
    <t>Dr Rao</t>
  </si>
  <si>
    <t>Dr Mehta</t>
  </si>
  <si>
    <t>Dr Singh</t>
  </si>
  <si>
    <t>Dr Khan</t>
  </si>
  <si>
    <t>Dr Thomas</t>
  </si>
  <si>
    <t>Private Insurance</t>
  </si>
  <si>
    <t>Government</t>
  </si>
  <si>
    <t>Self Pay</t>
  </si>
  <si>
    <t>Paid</t>
  </si>
  <si>
    <t>Pending</t>
  </si>
  <si>
    <t>Find total hospital billing.</t>
  </si>
  <si>
    <t>Find total billing for Government insurance.</t>
  </si>
  <si>
    <t>Count patients with Pending payments.</t>
  </si>
  <si>
    <t>Find total Pending billing.</t>
  </si>
  <si>
    <t>Find total billing for Cardiology + Government insurance.</t>
  </si>
  <si>
    <t>Count Cardiology patients with Pending payment.</t>
  </si>
  <si>
    <t>Find average bill for patients with Private Insurance.</t>
  </si>
  <si>
    <t>Count patients with bills above ₹40,000.</t>
  </si>
  <si>
    <t>Find total billing for patients with bills above ₹40,000.</t>
  </si>
  <si>
    <t>Count patients staying more than 5 days.</t>
  </si>
  <si>
    <t>Find total billing for patients staying more than 5 days.</t>
  </si>
  <si>
    <t>Find total billing for Cardiology patients staying more than 5 days.</t>
  </si>
  <si>
    <t>Find average length of stay for Pending patients.</t>
  </si>
  <si>
    <t>Find maximum bill among Cardiology patients.</t>
  </si>
  <si>
    <t>Find minimum bill among Orthopedics patients.</t>
  </si>
  <si>
    <t>Find total billing for Cardialogy department.</t>
  </si>
  <si>
    <t>Count patients in Dermatology department.</t>
  </si>
  <si>
    <t>Find average bill by Neurology department.</t>
  </si>
  <si>
    <t>Number of Cardiology patients with Pending payments</t>
  </si>
  <si>
    <t>Average bill for Cardiology + Government Insurance</t>
  </si>
  <si>
    <t>#</t>
  </si>
  <si>
    <t>Analysis</t>
  </si>
  <si>
    <t>Function</t>
  </si>
  <si>
    <t>Answer</t>
  </si>
  <si>
    <t>Total hospital billing</t>
  </si>
  <si>
    <t>SUM</t>
  </si>
  <si>
    <t>Cardiology billing</t>
  </si>
  <si>
    <t>SUMIF</t>
  </si>
  <si>
    <t>Dermatology billing</t>
  </si>
  <si>
    <t>General Medicine billing</t>
  </si>
  <si>
    <t>Neurology billing</t>
  </si>
  <si>
    <t>Orthopedics billing</t>
  </si>
  <si>
    <t>Cardiology patients</t>
  </si>
  <si>
    <t>COUNTIF</t>
  </si>
  <si>
    <t>Dermatology patients</t>
  </si>
  <si>
    <t>General Medicine patients</t>
  </si>
  <si>
    <t>Neurology patients</t>
  </si>
  <si>
    <t>Orthopedics patients</t>
  </si>
  <si>
    <t>Avg Cardiology bill</t>
  </si>
  <si>
    <t>AVERAGEIF</t>
  </si>
  <si>
    <t>Avg Dermatology bill</t>
  </si>
  <si>
    <t>Avg General Medicine bill</t>
  </si>
  <si>
    <t>Avg Neurology bill</t>
  </si>
  <si>
    <t>Avg Orthopedics bill</t>
  </si>
  <si>
    <t>Government billing</t>
  </si>
  <si>
    <t>Pending patients</t>
  </si>
  <si>
    <t>Pending billing</t>
  </si>
  <si>
    <t>Cardiology + Government</t>
  </si>
  <si>
    <t>SUMIFS</t>
  </si>
  <si>
    <t>Cardiology + Pending</t>
  </si>
  <si>
    <t>COUNTIFS</t>
  </si>
  <si>
    <t>Private Insurance avg bill</t>
  </si>
  <si>
    <t>Bills &gt; ₹40,000</t>
  </si>
  <si>
    <t>Total bills &gt; ₹40,000</t>
  </si>
  <si>
    <t>Stay &gt; 5 days</t>
  </si>
  <si>
    <t>Billing for stay &gt; 5 days</t>
  </si>
  <si>
    <t>Cardiology + stay &gt; 5 days</t>
  </si>
  <si>
    <t>Avg stay of Pending patients</t>
  </si>
  <si>
    <t>5.8 days</t>
  </si>
  <si>
    <t>Maximum Cardiology bill</t>
  </si>
  <si>
    <t>MAXIFS</t>
  </si>
  <si>
    <t>Minimum Orthopedics bill</t>
  </si>
  <si>
    <t>MINIFS</t>
  </si>
  <si>
    <t>Question:</t>
  </si>
  <si>
    <r>
      <t xml:space="preserve">Create a new column called </t>
    </r>
    <r>
      <rPr>
        <b/>
        <sz val="11"/>
        <color theme="1"/>
        <rFont val="Calibri"/>
        <family val="2"/>
        <scheme val="minor"/>
      </rPr>
      <t>Payment Alert</t>
    </r>
    <r>
      <rPr>
        <sz val="11"/>
        <color theme="1"/>
        <rFont val="Calibri"/>
        <family val="2"/>
        <scheme val="minor"/>
      </rPr>
      <t>.</t>
    </r>
  </si>
  <si>
    <r>
      <t xml:space="preserve">If Payment Status is </t>
    </r>
    <r>
      <rPr>
        <sz val="10"/>
        <color theme="1"/>
        <rFont val="Arial Unicode MS"/>
      </rPr>
      <t>Pending</t>
    </r>
    <r>
      <rPr>
        <sz val="11"/>
        <color theme="1"/>
        <rFont val="Calibri"/>
        <family val="2"/>
        <scheme val="minor"/>
      </rPr>
      <t xml:space="preserve">, display </t>
    </r>
    <r>
      <rPr>
        <b/>
        <sz val="11"/>
        <color theme="1"/>
        <rFont val="Calibri"/>
        <family val="2"/>
        <scheme val="minor"/>
      </rPr>
      <t>"Follow Up"</t>
    </r>
    <r>
      <rPr>
        <sz val="11"/>
        <color theme="1"/>
        <rFont val="Calibri"/>
        <family val="2"/>
        <scheme val="minor"/>
      </rPr>
      <t xml:space="preserve">, otherwise display </t>
    </r>
    <r>
      <rPr>
        <b/>
        <sz val="11"/>
        <color theme="1"/>
        <rFont val="Calibri"/>
        <family val="2"/>
        <scheme val="minor"/>
      </rPr>
      <t>"No Action"</t>
    </r>
    <r>
      <rPr>
        <sz val="11"/>
        <color theme="1"/>
        <rFont val="Calibri"/>
        <family val="2"/>
        <scheme val="minor"/>
      </rPr>
      <t>.</t>
    </r>
  </si>
  <si>
    <r>
      <t xml:space="preserve">Create a column called </t>
    </r>
    <r>
      <rPr>
        <b/>
        <sz val="11"/>
        <color theme="1"/>
        <rFont val="Calibri"/>
        <family val="2"/>
        <scheme val="minor"/>
      </rPr>
      <t>Bill Category</t>
    </r>
    <r>
      <rPr>
        <sz val="11"/>
        <color theme="1"/>
        <rFont val="Calibri"/>
        <family val="2"/>
        <scheme val="minor"/>
      </rPr>
      <t>.</t>
    </r>
  </si>
  <si>
    <r>
      <t xml:space="preserve">Bill &gt; ₹40,000 → </t>
    </r>
    <r>
      <rPr>
        <sz val="10"/>
        <color theme="1"/>
        <rFont val="Arial Unicode MS"/>
      </rPr>
      <t>High Bill</t>
    </r>
  </si>
  <si>
    <r>
      <t xml:space="preserve">Otherwise → </t>
    </r>
    <r>
      <rPr>
        <sz val="10"/>
        <color theme="1"/>
        <rFont val="Arial Unicode MS"/>
      </rPr>
      <t>Normal Bill</t>
    </r>
  </si>
  <si>
    <r>
      <t xml:space="preserve">Create a column called </t>
    </r>
    <r>
      <rPr>
        <b/>
        <sz val="11"/>
        <color theme="1"/>
        <rFont val="Calibri"/>
        <family val="2"/>
        <scheme val="minor"/>
      </rPr>
      <t>Age Category</t>
    </r>
    <r>
      <rPr>
        <sz val="11"/>
        <color theme="1"/>
        <rFont val="Calibri"/>
        <family val="2"/>
        <scheme val="minor"/>
      </rPr>
      <t>.</t>
    </r>
  </si>
  <si>
    <t>Otherwise:Non-Senior</t>
  </si>
  <si>
    <t>If Age is 60 or above:Senior Citizen</t>
  </si>
  <si>
    <r>
      <t xml:space="preserve">A patient is a </t>
    </r>
    <r>
      <rPr>
        <b/>
        <sz val="11"/>
        <color theme="1"/>
        <rFont val="Calibri"/>
        <family val="2"/>
        <scheme val="minor"/>
      </rPr>
      <t>High Billing Case</t>
    </r>
    <r>
      <rPr>
        <sz val="11"/>
        <color theme="1"/>
        <rFont val="Calibri"/>
        <family val="2"/>
        <scheme val="minor"/>
      </rPr>
      <t xml:space="preserve"> if:</t>
    </r>
  </si>
  <si>
    <t>Bill Amount &gt; ₹40,000</t>
  </si>
  <si>
    <t>AND</t>
  </si>
  <si>
    <t>Length of Stay &gt; 5 days</t>
  </si>
  <si>
    <r>
      <t xml:space="preserve">A patient requires </t>
    </r>
    <r>
      <rPr>
        <b/>
        <sz val="11"/>
        <color theme="1"/>
        <rFont val="Calibri"/>
        <family val="2"/>
        <scheme val="minor"/>
      </rPr>
      <t>urgent payment follow-up</t>
    </r>
    <r>
      <rPr>
        <sz val="11"/>
        <color theme="1"/>
        <rFont val="Calibri"/>
        <family val="2"/>
        <scheme val="minor"/>
      </rPr>
      <t xml:space="preserve"> if:</t>
    </r>
  </si>
  <si>
    <t>Payment Status = Pending</t>
  </si>
  <si>
    <t>Bill Amount &gt; ₹30,000</t>
  </si>
  <si>
    <t>If the patient belongs to:</t>
  </si>
  <si>
    <t>Cardiology OR Neurology</t>
  </si>
  <si>
    <t>display:Priority Department Otherwise:Regular Department</t>
  </si>
  <si>
    <r>
      <t xml:space="preserve">If the payment status is </t>
    </r>
    <r>
      <rPr>
        <b/>
        <sz val="11"/>
        <color theme="1"/>
        <rFont val="Calibri"/>
        <family val="2"/>
        <scheme val="minor"/>
      </rPr>
      <t>NOT Pending</t>
    </r>
    <r>
      <rPr>
        <sz val="11"/>
        <color theme="1"/>
        <rFont val="Calibri"/>
        <family val="2"/>
        <scheme val="minor"/>
      </rPr>
      <t>, display:</t>
    </r>
  </si>
  <si>
    <t>Payment Completed Otherwise:Payment Pending</t>
  </si>
  <si>
    <t>create a bill category</t>
  </si>
  <si>
    <t>Bill Amount</t>
  </si>
  <si>
    <t>Category</t>
  </si>
  <si>
    <t>≥ ₹50,000</t>
  </si>
  <si>
    <t>Very High</t>
  </si>
  <si>
    <t>≥ ₹30,000</t>
  </si>
  <si>
    <t>High</t>
  </si>
  <si>
    <t>≥ ₹15,000</t>
  </si>
  <si>
    <t>Medium</t>
  </si>
  <si>
    <t>&lt; ₹15,000</t>
  </si>
  <si>
    <t>Low</t>
  </si>
  <si>
    <t>If:</t>
  </si>
  <si>
    <t>Bill &gt; ₹40,000</t>
  </si>
  <si>
    <t>AND Payment = Pending</t>
  </si>
  <si>
    <t>Output:High Financial Risk Otherwise:Normal</t>
  </si>
  <si>
    <t>A patient needs management review if:</t>
  </si>
  <si>
    <r>
      <t xml:space="preserve">They are from </t>
    </r>
    <r>
      <rPr>
        <b/>
        <sz val="11"/>
        <color theme="1"/>
        <rFont val="Calibri"/>
        <family val="2"/>
        <scheme val="minor"/>
      </rPr>
      <t>Cardiology OR Orthopedics</t>
    </r>
    <r>
      <rPr>
        <sz val="11"/>
        <color theme="1"/>
        <rFont val="Calibri"/>
        <family val="2"/>
        <scheme val="minor"/>
      </rPr>
      <t>,</t>
    </r>
  </si>
  <si>
    <r>
      <t>AND</t>
    </r>
    <r>
      <rPr>
        <sz val="11"/>
        <color theme="1"/>
        <rFont val="Calibri"/>
        <family val="2"/>
        <scheme val="minor"/>
      </rPr>
      <t xml:space="preserve"> their bill is greater than ₹30,000.</t>
    </r>
    <r>
      <rPr>
        <b/>
        <sz val="11"/>
        <color theme="1"/>
        <rFont val="Calibri"/>
        <family val="2"/>
        <scheme val="minor"/>
      </rPr>
      <t xml:space="preserve"> then MR, NO Review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</si>
</sst>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₹&quot;\ #,##0;[Red]&quot;₹&quot;\ \-#,##0"/>
    <numFmt numFmtId="8" formatCode="&quot;₹&quot;\ #,##0.00;[Red]&quot;₹&quot;\ \-#,##0.00"/>
    <numFmt numFmtId="164" formatCode="yyyy\-mm\-dd\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6" fontId="1" fillId="0" borderId="0" xfId="0" applyNumberFormat="1" applyFont="1" applyAlignment="1">
      <alignment horizontal="right" vertical="center" wrapText="1"/>
    </xf>
    <xf numFmtId="8" fontId="1" fillId="0" borderId="0" xfId="0" applyNumberFormat="1" applyFont="1" applyAlignment="1">
      <alignment horizontal="right" vertical="center" wrapText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2" fillId="0" borderId="0" xfId="0" applyFon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6"/>
  <sheetViews>
    <sheetView tabSelected="1" topLeftCell="A54" zoomScale="170" zoomScaleNormal="170" workbookViewId="0">
      <selection activeCell="F43" sqref="F43"/>
    </sheetView>
  </sheetViews>
  <sheetFormatPr defaultRowHeight="14.4"/>
  <cols>
    <col min="1" max="1" width="10.109375" customWidth="1"/>
    <col min="2" max="2" width="16.21875" customWidth="1"/>
    <col min="5" max="5" width="19.77734375" customWidth="1"/>
    <col min="6" max="6" width="15.88671875" customWidth="1"/>
    <col min="7" max="7" width="18.33203125" customWidth="1"/>
    <col min="8" max="8" width="23" customWidth="1"/>
    <col min="9" max="9" width="16.6640625" customWidth="1"/>
    <col min="10" max="10" width="19.5546875" customWidth="1"/>
    <col min="11" max="11" width="16.88671875" customWidth="1"/>
    <col min="12" max="12" width="18.44140625" customWidth="1"/>
    <col min="13" max="13" width="16.44140625" customWidth="1"/>
    <col min="14" max="14" width="15.44140625" customWidth="1"/>
    <col min="15" max="15" width="14.77734375" customWidth="1"/>
    <col min="16" max="16" width="15.88671875" customWidth="1"/>
    <col min="17" max="17" width="21" customWidth="1"/>
    <col min="18" max="18" width="17.33203125" customWidth="1"/>
    <col min="19" max="19" width="17.6640625" customWidth="1"/>
    <col min="20" max="20" width="18.109375" customWidth="1"/>
    <col min="22" max="22" width="22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4"/>
      <c r="O1" s="14"/>
      <c r="P1" s="14"/>
      <c r="Q1" s="14"/>
      <c r="R1" s="14"/>
      <c r="S1" s="14"/>
      <c r="T1" s="14"/>
    </row>
    <row r="2" spans="1:20">
      <c r="A2" t="s">
        <v>13</v>
      </c>
      <c r="B2" t="s">
        <v>53</v>
      </c>
      <c r="C2">
        <v>34</v>
      </c>
      <c r="D2" t="s">
        <v>93</v>
      </c>
      <c r="E2" t="s">
        <v>95</v>
      </c>
      <c r="F2" t="s">
        <v>100</v>
      </c>
      <c r="G2" s="2">
        <v>46027</v>
      </c>
      <c r="H2" s="2">
        <v>46030</v>
      </c>
      <c r="I2" t="s">
        <v>113</v>
      </c>
      <c r="J2" t="s">
        <v>118</v>
      </c>
      <c r="K2">
        <v>18500</v>
      </c>
      <c r="L2" t="s">
        <v>121</v>
      </c>
      <c r="M2">
        <v>3</v>
      </c>
      <c r="S2" t="str">
        <f>IF(NOT(L2="Pending"),"Payment Completed","Payment Pending")</f>
        <v>Payment Completed</v>
      </c>
      <c r="T2" t="str">
        <f>IF(AND(OR(Patient_Data!E2="Cardiology",Patient_Data!E2="Orthopedics"),Patient_Data!K2&gt;30000),"MR","NR")</f>
        <v>NR</v>
      </c>
    </row>
    <row r="3" spans="1:20">
      <c r="A3" t="s">
        <v>14</v>
      </c>
      <c r="B3" t="s">
        <v>54</v>
      </c>
      <c r="C3">
        <v>52</v>
      </c>
      <c r="D3" t="s">
        <v>94</v>
      </c>
      <c r="E3" t="s">
        <v>96</v>
      </c>
      <c r="F3" t="s">
        <v>101</v>
      </c>
      <c r="G3" s="2">
        <v>46029</v>
      </c>
      <c r="H3" s="2">
        <v>46037</v>
      </c>
      <c r="I3" t="s">
        <v>114</v>
      </c>
      <c r="J3" t="s">
        <v>119</v>
      </c>
      <c r="K3">
        <v>42000</v>
      </c>
      <c r="L3" t="s">
        <v>121</v>
      </c>
      <c r="M3">
        <v>8</v>
      </c>
    </row>
    <row r="4" spans="1:20">
      <c r="A4" t="s">
        <v>15</v>
      </c>
      <c r="B4" t="s">
        <v>55</v>
      </c>
      <c r="C4">
        <v>28</v>
      </c>
      <c r="D4" t="s">
        <v>93</v>
      </c>
      <c r="E4" t="s">
        <v>97</v>
      </c>
      <c r="F4" t="s">
        <v>102</v>
      </c>
      <c r="G4" s="2">
        <v>46032</v>
      </c>
      <c r="H4" s="2">
        <v>46035</v>
      </c>
      <c r="I4" t="s">
        <v>115</v>
      </c>
      <c r="J4" t="s">
        <v>118</v>
      </c>
      <c r="K4">
        <v>12000</v>
      </c>
      <c r="L4" t="s">
        <v>121</v>
      </c>
      <c r="M4">
        <v>3</v>
      </c>
    </row>
    <row r="5" spans="1:20">
      <c r="A5" t="s">
        <v>16</v>
      </c>
      <c r="B5" t="s">
        <v>56</v>
      </c>
      <c r="C5">
        <v>45</v>
      </c>
      <c r="D5" t="s">
        <v>94</v>
      </c>
      <c r="E5" t="s">
        <v>95</v>
      </c>
      <c r="F5" t="s">
        <v>103</v>
      </c>
      <c r="G5" s="2">
        <v>46034</v>
      </c>
      <c r="H5" s="2">
        <v>46039</v>
      </c>
      <c r="I5" t="s">
        <v>113</v>
      </c>
      <c r="J5" t="s">
        <v>120</v>
      </c>
      <c r="K5">
        <v>27500</v>
      </c>
      <c r="L5" t="s">
        <v>122</v>
      </c>
      <c r="M5">
        <v>5</v>
      </c>
    </row>
    <row r="6" spans="1:20">
      <c r="A6" t="s">
        <v>17</v>
      </c>
      <c r="B6" t="s">
        <v>57</v>
      </c>
      <c r="C6">
        <v>67</v>
      </c>
      <c r="D6" t="s">
        <v>93</v>
      </c>
      <c r="E6" t="s">
        <v>98</v>
      </c>
      <c r="F6" t="s">
        <v>104</v>
      </c>
      <c r="G6" s="2">
        <v>46037</v>
      </c>
      <c r="H6" s="2">
        <v>46040</v>
      </c>
      <c r="I6" t="s">
        <v>116</v>
      </c>
      <c r="J6" t="s">
        <v>119</v>
      </c>
      <c r="K6">
        <v>16000</v>
      </c>
      <c r="L6" t="s">
        <v>121</v>
      </c>
      <c r="M6">
        <v>3</v>
      </c>
    </row>
    <row r="7" spans="1:20">
      <c r="A7" t="s">
        <v>18</v>
      </c>
      <c r="B7" t="s">
        <v>58</v>
      </c>
      <c r="C7">
        <v>39</v>
      </c>
      <c r="D7" t="s">
        <v>94</v>
      </c>
      <c r="E7" t="s">
        <v>97</v>
      </c>
      <c r="F7" t="s">
        <v>105</v>
      </c>
      <c r="G7" s="2">
        <v>46040</v>
      </c>
      <c r="H7" s="2">
        <v>46042</v>
      </c>
      <c r="I7" t="s">
        <v>115</v>
      </c>
      <c r="J7" t="s">
        <v>118</v>
      </c>
      <c r="K7">
        <v>9500</v>
      </c>
      <c r="L7" t="s">
        <v>121</v>
      </c>
      <c r="M7">
        <v>2</v>
      </c>
    </row>
    <row r="8" spans="1:20">
      <c r="A8" t="s">
        <v>19</v>
      </c>
      <c r="B8" t="s">
        <v>59</v>
      </c>
      <c r="C8">
        <v>73</v>
      </c>
      <c r="D8" t="s">
        <v>93</v>
      </c>
      <c r="E8" t="s">
        <v>95</v>
      </c>
      <c r="F8" t="s">
        <v>106</v>
      </c>
      <c r="G8" s="2">
        <v>46042</v>
      </c>
      <c r="H8" s="2">
        <v>46051</v>
      </c>
      <c r="I8" t="s">
        <v>113</v>
      </c>
      <c r="J8" t="s">
        <v>119</v>
      </c>
      <c r="K8">
        <v>68000</v>
      </c>
      <c r="L8" t="s">
        <v>122</v>
      </c>
      <c r="M8">
        <v>9</v>
      </c>
    </row>
    <row r="9" spans="1:20">
      <c r="A9" t="s">
        <v>20</v>
      </c>
      <c r="B9" t="s">
        <v>60</v>
      </c>
      <c r="C9">
        <v>31</v>
      </c>
      <c r="D9" t="s">
        <v>94</v>
      </c>
      <c r="E9" t="s">
        <v>99</v>
      </c>
      <c r="F9" t="s">
        <v>107</v>
      </c>
      <c r="G9" s="2">
        <v>46044</v>
      </c>
      <c r="H9" s="2">
        <v>46046</v>
      </c>
      <c r="I9" t="s">
        <v>117</v>
      </c>
      <c r="J9" t="s">
        <v>120</v>
      </c>
      <c r="K9">
        <v>7500</v>
      </c>
      <c r="L9" t="s">
        <v>121</v>
      </c>
      <c r="M9">
        <v>2</v>
      </c>
    </row>
    <row r="10" spans="1:20">
      <c r="A10" t="s">
        <v>21</v>
      </c>
      <c r="B10" t="s">
        <v>61</v>
      </c>
      <c r="C10">
        <v>56</v>
      </c>
      <c r="D10" t="s">
        <v>93</v>
      </c>
      <c r="E10" t="s">
        <v>96</v>
      </c>
      <c r="F10" t="s">
        <v>108</v>
      </c>
      <c r="G10" s="2">
        <v>46047</v>
      </c>
      <c r="H10" s="2">
        <v>46052</v>
      </c>
      <c r="I10" t="s">
        <v>114</v>
      </c>
      <c r="J10" t="s">
        <v>118</v>
      </c>
      <c r="K10">
        <v>24000</v>
      </c>
      <c r="L10" t="s">
        <v>121</v>
      </c>
      <c r="M10">
        <v>5</v>
      </c>
    </row>
    <row r="11" spans="1:20">
      <c r="A11" t="s">
        <v>22</v>
      </c>
      <c r="B11" t="s">
        <v>62</v>
      </c>
      <c r="C11">
        <v>24</v>
      </c>
      <c r="D11" t="s">
        <v>94</v>
      </c>
      <c r="E11" t="s">
        <v>97</v>
      </c>
      <c r="F11" t="s">
        <v>109</v>
      </c>
      <c r="G11" s="2">
        <v>46050</v>
      </c>
      <c r="H11" s="2">
        <v>46052</v>
      </c>
      <c r="I11" t="s">
        <v>115</v>
      </c>
      <c r="J11" t="s">
        <v>120</v>
      </c>
      <c r="K11">
        <v>6500</v>
      </c>
      <c r="L11" t="s">
        <v>121</v>
      </c>
      <c r="M11">
        <v>2</v>
      </c>
    </row>
    <row r="12" spans="1:20">
      <c r="A12" t="s">
        <v>23</v>
      </c>
      <c r="B12" t="s">
        <v>63</v>
      </c>
      <c r="C12">
        <v>61</v>
      </c>
      <c r="D12" t="s">
        <v>93</v>
      </c>
      <c r="E12" t="s">
        <v>95</v>
      </c>
      <c r="F12" t="s">
        <v>100</v>
      </c>
      <c r="G12" s="2">
        <v>46055</v>
      </c>
      <c r="H12" s="2">
        <v>46059</v>
      </c>
      <c r="I12" t="s">
        <v>113</v>
      </c>
      <c r="J12" t="s">
        <v>118</v>
      </c>
      <c r="K12">
        <v>22000</v>
      </c>
      <c r="L12" t="s">
        <v>121</v>
      </c>
      <c r="M12">
        <v>4</v>
      </c>
    </row>
    <row r="13" spans="1:20">
      <c r="A13" t="s">
        <v>24</v>
      </c>
      <c r="B13" t="s">
        <v>64</v>
      </c>
      <c r="C13">
        <v>48</v>
      </c>
      <c r="D13" t="s">
        <v>94</v>
      </c>
      <c r="E13" t="s">
        <v>98</v>
      </c>
      <c r="F13" t="s">
        <v>110</v>
      </c>
      <c r="G13" s="2">
        <v>46057</v>
      </c>
      <c r="H13" s="2">
        <v>46064</v>
      </c>
      <c r="I13" t="s">
        <v>116</v>
      </c>
      <c r="J13" t="s">
        <v>119</v>
      </c>
      <c r="K13">
        <v>39000</v>
      </c>
      <c r="L13" t="s">
        <v>122</v>
      </c>
      <c r="M13">
        <v>7</v>
      </c>
    </row>
    <row r="14" spans="1:20">
      <c r="A14" t="s">
        <v>25</v>
      </c>
      <c r="B14" t="s">
        <v>65</v>
      </c>
      <c r="C14">
        <v>36</v>
      </c>
      <c r="D14" t="s">
        <v>93</v>
      </c>
      <c r="E14" t="s">
        <v>96</v>
      </c>
      <c r="F14" t="s">
        <v>111</v>
      </c>
      <c r="G14" s="2">
        <v>46059</v>
      </c>
      <c r="H14" s="2">
        <v>46062</v>
      </c>
      <c r="I14" t="s">
        <v>114</v>
      </c>
      <c r="J14" t="s">
        <v>120</v>
      </c>
      <c r="K14">
        <v>14500</v>
      </c>
      <c r="L14" t="s">
        <v>121</v>
      </c>
      <c r="M14">
        <v>3</v>
      </c>
    </row>
    <row r="15" spans="1:20">
      <c r="A15" t="s">
        <v>26</v>
      </c>
      <c r="B15" t="s">
        <v>66</v>
      </c>
      <c r="C15">
        <v>42</v>
      </c>
      <c r="D15" t="s">
        <v>94</v>
      </c>
      <c r="E15" t="s">
        <v>99</v>
      </c>
      <c r="F15" t="s">
        <v>112</v>
      </c>
      <c r="G15" s="2">
        <v>46061</v>
      </c>
      <c r="H15" s="2">
        <v>46065</v>
      </c>
      <c r="I15" t="s">
        <v>117</v>
      </c>
      <c r="J15" t="s">
        <v>118</v>
      </c>
      <c r="K15">
        <v>18000</v>
      </c>
      <c r="L15" t="s">
        <v>121</v>
      </c>
      <c r="M15">
        <v>4</v>
      </c>
    </row>
    <row r="16" spans="1:20">
      <c r="A16" t="s">
        <v>27</v>
      </c>
      <c r="B16" t="s">
        <v>67</v>
      </c>
      <c r="C16">
        <v>69</v>
      </c>
      <c r="D16" t="s">
        <v>93</v>
      </c>
      <c r="E16" t="s">
        <v>95</v>
      </c>
      <c r="F16" t="s">
        <v>106</v>
      </c>
      <c r="G16" s="2">
        <v>46063</v>
      </c>
      <c r="H16" s="2">
        <v>46073</v>
      </c>
      <c r="I16" t="s">
        <v>113</v>
      </c>
      <c r="J16" t="s">
        <v>119</v>
      </c>
      <c r="K16">
        <v>72000</v>
      </c>
      <c r="L16" t="s">
        <v>122</v>
      </c>
      <c r="M16">
        <v>10</v>
      </c>
    </row>
    <row r="17" spans="1:13">
      <c r="A17" t="s">
        <v>28</v>
      </c>
      <c r="B17" t="s">
        <v>68</v>
      </c>
      <c r="C17">
        <v>29</v>
      </c>
      <c r="D17" t="s">
        <v>94</v>
      </c>
      <c r="E17" t="s">
        <v>97</v>
      </c>
      <c r="F17" t="s">
        <v>102</v>
      </c>
      <c r="G17" s="2">
        <v>46065</v>
      </c>
      <c r="H17" s="2">
        <v>46068</v>
      </c>
      <c r="I17" t="s">
        <v>115</v>
      </c>
      <c r="J17" t="s">
        <v>120</v>
      </c>
      <c r="K17">
        <v>10500</v>
      </c>
      <c r="L17" t="s">
        <v>121</v>
      </c>
      <c r="M17">
        <v>3</v>
      </c>
    </row>
    <row r="18" spans="1:13">
      <c r="A18" t="s">
        <v>29</v>
      </c>
      <c r="B18" t="s">
        <v>69</v>
      </c>
      <c r="C18">
        <v>58</v>
      </c>
      <c r="D18" t="s">
        <v>93</v>
      </c>
      <c r="E18" t="s">
        <v>98</v>
      </c>
      <c r="F18" t="s">
        <v>104</v>
      </c>
      <c r="G18" s="2">
        <v>46068</v>
      </c>
      <c r="H18" s="2">
        <v>46071</v>
      </c>
      <c r="I18" t="s">
        <v>116</v>
      </c>
      <c r="J18" t="s">
        <v>118</v>
      </c>
      <c r="K18">
        <v>17500</v>
      </c>
      <c r="L18" t="s">
        <v>121</v>
      </c>
      <c r="M18">
        <v>3</v>
      </c>
    </row>
    <row r="19" spans="1:13">
      <c r="A19" t="s">
        <v>30</v>
      </c>
      <c r="B19" t="s">
        <v>70</v>
      </c>
      <c r="C19">
        <v>33</v>
      </c>
      <c r="D19" t="s">
        <v>94</v>
      </c>
      <c r="E19" t="s">
        <v>96</v>
      </c>
      <c r="F19" t="s">
        <v>101</v>
      </c>
      <c r="G19" s="2">
        <v>46070</v>
      </c>
      <c r="H19" s="2">
        <v>46078</v>
      </c>
      <c r="I19" t="s">
        <v>114</v>
      </c>
      <c r="J19" t="s">
        <v>119</v>
      </c>
      <c r="K19">
        <v>45000</v>
      </c>
      <c r="L19" t="s">
        <v>121</v>
      </c>
      <c r="M19">
        <v>8</v>
      </c>
    </row>
    <row r="20" spans="1:13">
      <c r="A20" t="s">
        <v>31</v>
      </c>
      <c r="B20" t="s">
        <v>71</v>
      </c>
      <c r="C20">
        <v>47</v>
      </c>
      <c r="D20" t="s">
        <v>93</v>
      </c>
      <c r="E20" t="s">
        <v>99</v>
      </c>
      <c r="F20" t="s">
        <v>107</v>
      </c>
      <c r="G20" s="2">
        <v>46073</v>
      </c>
      <c r="H20" s="2">
        <v>46075</v>
      </c>
      <c r="I20" t="s">
        <v>117</v>
      </c>
      <c r="J20" t="s">
        <v>120</v>
      </c>
      <c r="K20">
        <v>8000</v>
      </c>
      <c r="L20" t="s">
        <v>122</v>
      </c>
      <c r="M20">
        <v>2</v>
      </c>
    </row>
    <row r="21" spans="1:13">
      <c r="A21" t="s">
        <v>32</v>
      </c>
      <c r="B21" t="s">
        <v>72</v>
      </c>
      <c r="C21">
        <v>55</v>
      </c>
      <c r="D21" t="s">
        <v>94</v>
      </c>
      <c r="E21" t="s">
        <v>95</v>
      </c>
      <c r="F21" t="s">
        <v>103</v>
      </c>
      <c r="G21" s="2">
        <v>46075</v>
      </c>
      <c r="H21" s="2">
        <v>46080</v>
      </c>
      <c r="I21" t="s">
        <v>113</v>
      </c>
      <c r="J21" t="s">
        <v>118</v>
      </c>
      <c r="K21">
        <v>31000</v>
      </c>
      <c r="L21" t="s">
        <v>121</v>
      </c>
      <c r="M21">
        <v>5</v>
      </c>
    </row>
    <row r="22" spans="1:13">
      <c r="A22" t="s">
        <v>33</v>
      </c>
      <c r="B22" t="s">
        <v>73</v>
      </c>
      <c r="C22">
        <v>40</v>
      </c>
      <c r="D22" t="s">
        <v>93</v>
      </c>
      <c r="E22" t="s">
        <v>97</v>
      </c>
      <c r="F22" t="s">
        <v>105</v>
      </c>
      <c r="G22" s="2">
        <v>46082</v>
      </c>
      <c r="H22" s="2">
        <v>46085</v>
      </c>
      <c r="I22" t="s">
        <v>115</v>
      </c>
      <c r="J22" t="s">
        <v>119</v>
      </c>
      <c r="K22">
        <v>13000</v>
      </c>
      <c r="L22" t="s">
        <v>121</v>
      </c>
      <c r="M22">
        <v>3</v>
      </c>
    </row>
    <row r="23" spans="1:13">
      <c r="A23" t="s">
        <v>34</v>
      </c>
      <c r="B23" t="s">
        <v>74</v>
      </c>
      <c r="C23">
        <v>63</v>
      </c>
      <c r="D23" t="s">
        <v>94</v>
      </c>
      <c r="E23" t="s">
        <v>98</v>
      </c>
      <c r="F23" t="s">
        <v>110</v>
      </c>
      <c r="G23" s="2">
        <v>46084</v>
      </c>
      <c r="H23" s="2">
        <v>46093</v>
      </c>
      <c r="I23" t="s">
        <v>116</v>
      </c>
      <c r="J23" t="s">
        <v>118</v>
      </c>
      <c r="K23">
        <v>48000</v>
      </c>
      <c r="L23" t="s">
        <v>121</v>
      </c>
      <c r="M23">
        <v>9</v>
      </c>
    </row>
    <row r="24" spans="1:13">
      <c r="A24" t="s">
        <v>35</v>
      </c>
      <c r="B24" t="s">
        <v>75</v>
      </c>
      <c r="C24">
        <v>27</v>
      </c>
      <c r="D24" t="s">
        <v>93</v>
      </c>
      <c r="E24" t="s">
        <v>96</v>
      </c>
      <c r="F24" t="s">
        <v>111</v>
      </c>
      <c r="G24" s="2">
        <v>46086</v>
      </c>
      <c r="H24" s="2">
        <v>46089</v>
      </c>
      <c r="I24" t="s">
        <v>114</v>
      </c>
      <c r="J24" t="s">
        <v>120</v>
      </c>
      <c r="K24">
        <v>12500</v>
      </c>
      <c r="L24" t="s">
        <v>121</v>
      </c>
      <c r="M24">
        <v>3</v>
      </c>
    </row>
    <row r="25" spans="1:13">
      <c r="A25" t="s">
        <v>36</v>
      </c>
      <c r="B25" t="s">
        <v>76</v>
      </c>
      <c r="C25">
        <v>51</v>
      </c>
      <c r="D25" t="s">
        <v>94</v>
      </c>
      <c r="E25" t="s">
        <v>99</v>
      </c>
      <c r="F25" t="s">
        <v>112</v>
      </c>
      <c r="G25" s="2">
        <v>46088</v>
      </c>
      <c r="H25" s="2">
        <v>46091</v>
      </c>
      <c r="I25" t="s">
        <v>117</v>
      </c>
      <c r="J25" t="s">
        <v>119</v>
      </c>
      <c r="K25">
        <v>15500</v>
      </c>
      <c r="L25" t="s">
        <v>122</v>
      </c>
      <c r="M25">
        <v>3</v>
      </c>
    </row>
    <row r="26" spans="1:13">
      <c r="A26" t="s">
        <v>37</v>
      </c>
      <c r="B26" t="s">
        <v>77</v>
      </c>
      <c r="C26">
        <v>70</v>
      </c>
      <c r="D26" t="s">
        <v>93</v>
      </c>
      <c r="E26" t="s">
        <v>95</v>
      </c>
      <c r="F26" t="s">
        <v>106</v>
      </c>
      <c r="G26" s="2">
        <v>46091</v>
      </c>
      <c r="H26" s="2">
        <v>46102</v>
      </c>
      <c r="I26" t="s">
        <v>113</v>
      </c>
      <c r="J26" t="s">
        <v>119</v>
      </c>
      <c r="K26">
        <v>76000</v>
      </c>
      <c r="L26" t="s">
        <v>121</v>
      </c>
      <c r="M26">
        <v>11</v>
      </c>
    </row>
    <row r="27" spans="1:13">
      <c r="A27" t="s">
        <v>38</v>
      </c>
      <c r="B27" t="s">
        <v>78</v>
      </c>
      <c r="C27">
        <v>37</v>
      </c>
      <c r="D27" t="s">
        <v>94</v>
      </c>
      <c r="E27" t="s">
        <v>97</v>
      </c>
      <c r="F27" t="s">
        <v>109</v>
      </c>
      <c r="G27" s="2">
        <v>46093</v>
      </c>
      <c r="H27" s="2">
        <v>46095</v>
      </c>
      <c r="I27" t="s">
        <v>115</v>
      </c>
      <c r="J27" t="s">
        <v>120</v>
      </c>
      <c r="K27">
        <v>6200</v>
      </c>
      <c r="L27" t="s">
        <v>121</v>
      </c>
      <c r="M27">
        <v>2</v>
      </c>
    </row>
    <row r="28" spans="1:13">
      <c r="A28" t="s">
        <v>39</v>
      </c>
      <c r="B28" t="s">
        <v>79</v>
      </c>
      <c r="C28">
        <v>44</v>
      </c>
      <c r="D28" t="s">
        <v>93</v>
      </c>
      <c r="E28" t="s">
        <v>96</v>
      </c>
      <c r="F28" t="s">
        <v>108</v>
      </c>
      <c r="G28" s="2">
        <v>46096</v>
      </c>
      <c r="H28" s="2">
        <v>46101</v>
      </c>
      <c r="I28" t="s">
        <v>114</v>
      </c>
      <c r="J28" t="s">
        <v>118</v>
      </c>
      <c r="K28">
        <v>26000</v>
      </c>
      <c r="L28" t="s">
        <v>122</v>
      </c>
      <c r="M28">
        <v>5</v>
      </c>
    </row>
    <row r="29" spans="1:13">
      <c r="A29" t="s">
        <v>40</v>
      </c>
      <c r="B29" t="s">
        <v>80</v>
      </c>
      <c r="C29">
        <v>30</v>
      </c>
      <c r="D29" t="s">
        <v>94</v>
      </c>
      <c r="E29" t="s">
        <v>98</v>
      </c>
      <c r="F29" t="s">
        <v>104</v>
      </c>
      <c r="G29" s="2">
        <v>46098</v>
      </c>
      <c r="H29" s="2">
        <v>46100</v>
      </c>
      <c r="I29" t="s">
        <v>116</v>
      </c>
      <c r="J29" t="s">
        <v>120</v>
      </c>
      <c r="K29">
        <v>9000</v>
      </c>
      <c r="L29" t="s">
        <v>121</v>
      </c>
      <c r="M29">
        <v>2</v>
      </c>
    </row>
    <row r="30" spans="1:13">
      <c r="A30" t="s">
        <v>41</v>
      </c>
      <c r="B30" t="s">
        <v>81</v>
      </c>
      <c r="C30">
        <v>59</v>
      </c>
      <c r="D30" t="s">
        <v>93</v>
      </c>
      <c r="E30" t="s">
        <v>99</v>
      </c>
      <c r="F30" t="s">
        <v>107</v>
      </c>
      <c r="G30" s="2">
        <v>46101</v>
      </c>
      <c r="H30" s="2">
        <v>46104</v>
      </c>
      <c r="I30" t="s">
        <v>117</v>
      </c>
      <c r="J30" t="s">
        <v>118</v>
      </c>
      <c r="K30">
        <v>11000</v>
      </c>
      <c r="L30" t="s">
        <v>121</v>
      </c>
      <c r="M30">
        <v>3</v>
      </c>
    </row>
    <row r="31" spans="1:13">
      <c r="A31" t="s">
        <v>42</v>
      </c>
      <c r="B31" t="s">
        <v>82</v>
      </c>
      <c r="C31">
        <v>46</v>
      </c>
      <c r="D31" t="s">
        <v>94</v>
      </c>
      <c r="E31" t="s">
        <v>95</v>
      </c>
      <c r="F31" t="s">
        <v>100</v>
      </c>
      <c r="G31" s="2">
        <v>46103</v>
      </c>
      <c r="H31" s="2">
        <v>46107</v>
      </c>
      <c r="I31" t="s">
        <v>113</v>
      </c>
      <c r="J31" t="s">
        <v>119</v>
      </c>
      <c r="K31">
        <v>24500</v>
      </c>
      <c r="L31" t="s">
        <v>121</v>
      </c>
      <c r="M31">
        <v>4</v>
      </c>
    </row>
    <row r="32" spans="1:13">
      <c r="A32" t="s">
        <v>43</v>
      </c>
      <c r="B32" t="s">
        <v>83</v>
      </c>
      <c r="C32">
        <v>35</v>
      </c>
      <c r="D32" t="s">
        <v>93</v>
      </c>
      <c r="E32" t="s">
        <v>97</v>
      </c>
      <c r="F32" t="s">
        <v>102</v>
      </c>
      <c r="G32" s="2">
        <v>46113</v>
      </c>
      <c r="H32" s="2">
        <v>46117</v>
      </c>
      <c r="I32" t="s">
        <v>115</v>
      </c>
      <c r="J32" t="s">
        <v>118</v>
      </c>
      <c r="K32">
        <v>14000</v>
      </c>
      <c r="L32" t="s">
        <v>121</v>
      </c>
      <c r="M32">
        <v>4</v>
      </c>
    </row>
    <row r="33" spans="1:13">
      <c r="A33" t="s">
        <v>44</v>
      </c>
      <c r="B33" t="s">
        <v>84</v>
      </c>
      <c r="C33">
        <v>62</v>
      </c>
      <c r="D33" t="s">
        <v>94</v>
      </c>
      <c r="E33" t="s">
        <v>98</v>
      </c>
      <c r="F33" t="s">
        <v>110</v>
      </c>
      <c r="G33" s="2">
        <v>46115</v>
      </c>
      <c r="H33" s="2">
        <v>46122</v>
      </c>
      <c r="I33" t="s">
        <v>116</v>
      </c>
      <c r="J33" t="s">
        <v>119</v>
      </c>
      <c r="K33">
        <v>41000</v>
      </c>
      <c r="L33" t="s">
        <v>122</v>
      </c>
      <c r="M33">
        <v>7</v>
      </c>
    </row>
    <row r="34" spans="1:13">
      <c r="A34" t="s">
        <v>45</v>
      </c>
      <c r="B34" t="s">
        <v>85</v>
      </c>
      <c r="C34">
        <v>49</v>
      </c>
      <c r="D34" t="s">
        <v>93</v>
      </c>
      <c r="E34" t="s">
        <v>96</v>
      </c>
      <c r="F34" t="s">
        <v>101</v>
      </c>
      <c r="G34" s="2">
        <v>46117</v>
      </c>
      <c r="H34" s="2">
        <v>46126</v>
      </c>
      <c r="I34" t="s">
        <v>114</v>
      </c>
      <c r="J34" t="s">
        <v>118</v>
      </c>
      <c r="K34">
        <v>47000</v>
      </c>
      <c r="L34" t="s">
        <v>121</v>
      </c>
      <c r="M34">
        <v>9</v>
      </c>
    </row>
    <row r="35" spans="1:13">
      <c r="A35" t="s">
        <v>46</v>
      </c>
      <c r="B35" t="s">
        <v>86</v>
      </c>
      <c r="C35">
        <v>38</v>
      </c>
      <c r="D35" t="s">
        <v>94</v>
      </c>
      <c r="E35" t="s">
        <v>99</v>
      </c>
      <c r="F35" t="s">
        <v>112</v>
      </c>
      <c r="G35" s="2">
        <v>46119</v>
      </c>
      <c r="H35" s="2">
        <v>46123</v>
      </c>
      <c r="I35" t="s">
        <v>117</v>
      </c>
      <c r="J35" t="s">
        <v>120</v>
      </c>
      <c r="K35">
        <v>17000</v>
      </c>
      <c r="L35" t="s">
        <v>121</v>
      </c>
      <c r="M35">
        <v>4</v>
      </c>
    </row>
    <row r="36" spans="1:13">
      <c r="A36" t="s">
        <v>47</v>
      </c>
      <c r="B36" t="s">
        <v>87</v>
      </c>
      <c r="C36">
        <v>66</v>
      </c>
      <c r="D36" t="s">
        <v>93</v>
      </c>
      <c r="E36" t="s">
        <v>95</v>
      </c>
      <c r="F36" t="s">
        <v>103</v>
      </c>
      <c r="G36" s="2">
        <v>46122</v>
      </c>
      <c r="H36" s="2">
        <v>46128</v>
      </c>
      <c r="I36" t="s">
        <v>113</v>
      </c>
      <c r="J36" t="s">
        <v>119</v>
      </c>
      <c r="K36">
        <v>35000</v>
      </c>
      <c r="L36" t="s">
        <v>122</v>
      </c>
      <c r="M36">
        <v>6</v>
      </c>
    </row>
    <row r="37" spans="1:13">
      <c r="A37" t="s">
        <v>48</v>
      </c>
      <c r="B37" t="s">
        <v>88</v>
      </c>
      <c r="C37">
        <v>26</v>
      </c>
      <c r="D37" t="s">
        <v>94</v>
      </c>
      <c r="E37" t="s">
        <v>97</v>
      </c>
      <c r="F37" t="s">
        <v>109</v>
      </c>
      <c r="G37" s="2">
        <v>46124</v>
      </c>
      <c r="H37" s="2">
        <v>46126</v>
      </c>
      <c r="I37" t="s">
        <v>115</v>
      </c>
      <c r="J37" t="s">
        <v>120</v>
      </c>
      <c r="K37">
        <v>5800</v>
      </c>
      <c r="L37" t="s">
        <v>121</v>
      </c>
      <c r="M37">
        <v>2</v>
      </c>
    </row>
    <row r="38" spans="1:13">
      <c r="A38" t="s">
        <v>49</v>
      </c>
      <c r="B38" t="s">
        <v>89</v>
      </c>
      <c r="C38">
        <v>54</v>
      </c>
      <c r="D38" t="s">
        <v>93</v>
      </c>
      <c r="E38" t="s">
        <v>96</v>
      </c>
      <c r="F38" t="s">
        <v>111</v>
      </c>
      <c r="G38" s="2">
        <v>46127</v>
      </c>
      <c r="H38" s="2">
        <v>46131</v>
      </c>
      <c r="I38" t="s">
        <v>114</v>
      </c>
      <c r="J38" t="s">
        <v>118</v>
      </c>
      <c r="K38">
        <v>19000</v>
      </c>
      <c r="L38" t="s">
        <v>121</v>
      </c>
      <c r="M38">
        <v>4</v>
      </c>
    </row>
    <row r="39" spans="1:13">
      <c r="A39" t="s">
        <v>50</v>
      </c>
      <c r="B39" t="s">
        <v>90</v>
      </c>
      <c r="C39">
        <v>43</v>
      </c>
      <c r="D39" t="s">
        <v>94</v>
      </c>
      <c r="E39" t="s">
        <v>98</v>
      </c>
      <c r="F39" t="s">
        <v>104</v>
      </c>
      <c r="G39" s="2">
        <v>46130</v>
      </c>
      <c r="H39" s="2">
        <v>46132</v>
      </c>
      <c r="I39" t="s">
        <v>116</v>
      </c>
      <c r="J39" t="s">
        <v>120</v>
      </c>
      <c r="K39">
        <v>8500</v>
      </c>
      <c r="L39" t="s">
        <v>121</v>
      </c>
      <c r="M39">
        <v>2</v>
      </c>
    </row>
    <row r="40" spans="1:13">
      <c r="A40" t="s">
        <v>51</v>
      </c>
      <c r="B40" t="s">
        <v>91</v>
      </c>
      <c r="C40">
        <v>71</v>
      </c>
      <c r="D40" t="s">
        <v>93</v>
      </c>
      <c r="E40" t="s">
        <v>99</v>
      </c>
      <c r="F40" t="s">
        <v>107</v>
      </c>
      <c r="G40" s="2">
        <v>46132</v>
      </c>
      <c r="H40" s="2">
        <v>46136</v>
      </c>
      <c r="I40" t="s">
        <v>117</v>
      </c>
      <c r="J40" t="s">
        <v>119</v>
      </c>
      <c r="K40">
        <v>12500</v>
      </c>
      <c r="L40" t="s">
        <v>122</v>
      </c>
      <c r="M40">
        <v>4</v>
      </c>
    </row>
    <row r="41" spans="1:13">
      <c r="A41" t="s">
        <v>52</v>
      </c>
      <c r="B41" t="s">
        <v>92</v>
      </c>
      <c r="C41">
        <v>50</v>
      </c>
      <c r="D41" t="s">
        <v>94</v>
      </c>
      <c r="E41" t="s">
        <v>95</v>
      </c>
      <c r="F41" t="s">
        <v>106</v>
      </c>
      <c r="G41" s="2">
        <v>46134</v>
      </c>
      <c r="H41" s="2">
        <v>46144</v>
      </c>
      <c r="I41" t="s">
        <v>113</v>
      </c>
      <c r="J41" t="s">
        <v>118</v>
      </c>
      <c r="K41">
        <v>69000</v>
      </c>
      <c r="L41" t="s">
        <v>121</v>
      </c>
      <c r="M41">
        <v>10</v>
      </c>
    </row>
    <row r="43" spans="1:13">
      <c r="H43">
        <f>SUMIF(Department,"Opthomology",Bills)</f>
        <v>0</v>
      </c>
    </row>
    <row r="47" spans="1:13">
      <c r="E47" t="s">
        <v>123</v>
      </c>
      <c r="H47">
        <f>SUM(Bills)</f>
        <v>1019500</v>
      </c>
    </row>
    <row r="48" spans="1:13">
      <c r="E48" t="s">
        <v>138</v>
      </c>
      <c r="H48">
        <f>SUMIF(Department,"Cardiology",Bills)</f>
        <v>443500</v>
      </c>
      <c r="I48">
        <f>SUMIF(Department,E30,Bills)</f>
        <v>89500</v>
      </c>
    </row>
    <row r="49" spans="5:10">
      <c r="E49" t="s">
        <v>139</v>
      </c>
      <c r="H49">
        <f>COUNTIF(Department,E35)</f>
        <v>7</v>
      </c>
      <c r="I49">
        <f>COUNTIF(Department,E39)</f>
        <v>7</v>
      </c>
      <c r="J49">
        <f>COUNTIF(Gender,D38)</f>
        <v>20</v>
      </c>
    </row>
    <row r="50" spans="5:10">
      <c r="E50" t="s">
        <v>140</v>
      </c>
      <c r="H50">
        <f>AVERAGEIF(Department,E39,Bills)</f>
        <v>25571.428571428572</v>
      </c>
    </row>
    <row r="51" spans="5:10">
      <c r="E51" t="s">
        <v>124</v>
      </c>
      <c r="H51">
        <f>SUMIF(J2:J41,J22,Bills)</f>
        <v>499500</v>
      </c>
    </row>
    <row r="52" spans="5:10">
      <c r="E52" t="s">
        <v>125</v>
      </c>
      <c r="H52">
        <f>COUNTIF(L2:L41,L25)</f>
        <v>10</v>
      </c>
    </row>
    <row r="53" spans="5:10">
      <c r="E53" t="s">
        <v>126</v>
      </c>
    </row>
    <row r="54" spans="5:10">
      <c r="E54" t="s">
        <v>127</v>
      </c>
      <c r="H54">
        <f>SUMIFS(Bills,Department,E41,J2:J41,J25)</f>
        <v>275500</v>
      </c>
    </row>
    <row r="55" spans="5:10">
      <c r="E55" t="s">
        <v>128</v>
      </c>
      <c r="H55">
        <f>COUNTIFS(Department,E41,L2:L41,L28)</f>
        <v>4</v>
      </c>
    </row>
    <row r="56" spans="5:10">
      <c r="E56" t="s">
        <v>129</v>
      </c>
    </row>
    <row r="57" spans="5:10">
      <c r="E57" t="s">
        <v>130</v>
      </c>
      <c r="H57">
        <f>COUNTIF(Bills,"&gt;40000")</f>
        <v>9</v>
      </c>
    </row>
    <row r="58" spans="5:10">
      <c r="E58" t="s">
        <v>131</v>
      </c>
      <c r="H58">
        <f>SUMIF(Bills,"&gt;40000",Bills)</f>
        <v>508000</v>
      </c>
    </row>
    <row r="59" spans="5:10">
      <c r="E59" t="s">
        <v>132</v>
      </c>
    </row>
    <row r="60" spans="5:10">
      <c r="E60" t="s">
        <v>133</v>
      </c>
      <c r="H60">
        <f>SUMIF(Stay,"&gt;5",Bills)</f>
        <v>582000</v>
      </c>
    </row>
    <row r="61" spans="5:10">
      <c r="E61" t="s">
        <v>134</v>
      </c>
      <c r="H61">
        <f>SUMIFS(Bills,Department,E41,Stay,"&gt;5")</f>
        <v>320000</v>
      </c>
    </row>
    <row r="62" spans="5:10">
      <c r="E62" t="s">
        <v>135</v>
      </c>
    </row>
    <row r="63" spans="5:10">
      <c r="E63" t="s">
        <v>136</v>
      </c>
      <c r="H63">
        <f>_xlfn.MAXIFS(Bills,Department,E41)</f>
        <v>76000</v>
      </c>
    </row>
    <row r="64" spans="5:10">
      <c r="E64" t="s">
        <v>137</v>
      </c>
    </row>
    <row r="65" spans="5:5">
      <c r="E65" t="s">
        <v>141</v>
      </c>
    </row>
    <row r="66" spans="5:5">
      <c r="E66" t="s">
        <v>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CC642-27D6-44E5-9163-DA270655D0F5}">
  <dimension ref="A1:C47"/>
  <sheetViews>
    <sheetView topLeftCell="A64" zoomScale="102" zoomScaleNormal="102" workbookViewId="0">
      <selection activeCell="A40" sqref="A40"/>
    </sheetView>
  </sheetViews>
  <sheetFormatPr defaultRowHeight="14.4"/>
  <cols>
    <col min="1" max="1" width="98.109375" customWidth="1"/>
    <col min="2" max="2" width="14" customWidth="1"/>
  </cols>
  <sheetData>
    <row r="1" spans="1:1">
      <c r="A1" s="10" t="s">
        <v>186</v>
      </c>
    </row>
    <row r="2" spans="1:1">
      <c r="A2" t="s">
        <v>187</v>
      </c>
    </row>
    <row r="3" spans="1:1">
      <c r="A3" t="s">
        <v>188</v>
      </c>
    </row>
    <row r="5" spans="1:1">
      <c r="A5" t="s">
        <v>189</v>
      </c>
    </row>
    <row r="6" spans="1:1">
      <c r="A6" s="11" t="s">
        <v>190</v>
      </c>
    </row>
    <row r="7" spans="1:1">
      <c r="A7" s="11" t="s">
        <v>191</v>
      </c>
    </row>
    <row r="9" spans="1:1">
      <c r="A9" t="s">
        <v>192</v>
      </c>
    </row>
    <row r="10" spans="1:1">
      <c r="A10" t="s">
        <v>194</v>
      </c>
    </row>
    <row r="11" spans="1:1">
      <c r="A11" t="s">
        <v>193</v>
      </c>
    </row>
    <row r="12" spans="1:1">
      <c r="A12" s="11"/>
    </row>
    <row r="13" spans="1:1">
      <c r="A13" t="s">
        <v>195</v>
      </c>
    </row>
    <row r="14" spans="1:1">
      <c r="A14" s="11" t="s">
        <v>196</v>
      </c>
    </row>
    <row r="15" spans="1:1">
      <c r="A15" s="12" t="s">
        <v>197</v>
      </c>
    </row>
    <row r="16" spans="1:1">
      <c r="A16" s="11" t="s">
        <v>198</v>
      </c>
    </row>
    <row r="18" spans="1:3">
      <c r="A18" t="s">
        <v>199</v>
      </c>
    </row>
    <row r="19" spans="1:3">
      <c r="A19" s="11" t="s">
        <v>200</v>
      </c>
    </row>
    <row r="20" spans="1:3">
      <c r="A20" s="11" t="s">
        <v>197</v>
      </c>
    </row>
    <row r="21" spans="1:3">
      <c r="A21" s="11" t="s">
        <v>201</v>
      </c>
    </row>
    <row r="23" spans="1:3">
      <c r="A23" t="s">
        <v>202</v>
      </c>
    </row>
    <row r="24" spans="1:3">
      <c r="A24" s="11" t="s">
        <v>203</v>
      </c>
    </row>
    <row r="25" spans="1:3">
      <c r="A25" s="11" t="s">
        <v>204</v>
      </c>
    </row>
    <row r="27" spans="1:3">
      <c r="A27" t="s">
        <v>205</v>
      </c>
    </row>
    <row r="28" spans="1:3">
      <c r="A28" t="s">
        <v>206</v>
      </c>
    </row>
    <row r="29" spans="1:3">
      <c r="A29" s="13"/>
    </row>
    <row r="30" spans="1:3">
      <c r="A30" t="s">
        <v>207</v>
      </c>
      <c r="B30" s="4" t="s">
        <v>208</v>
      </c>
      <c r="C30" s="5" t="s">
        <v>209</v>
      </c>
    </row>
    <row r="31" spans="1:3">
      <c r="B31" s="3" t="s">
        <v>210</v>
      </c>
      <c r="C31" s="6" t="s">
        <v>211</v>
      </c>
    </row>
    <row r="32" spans="1:3">
      <c r="B32" s="3" t="s">
        <v>212</v>
      </c>
      <c r="C32" s="6" t="s">
        <v>213</v>
      </c>
    </row>
    <row r="33" spans="1:3">
      <c r="A33" s="13"/>
      <c r="B33" s="3" t="s">
        <v>214</v>
      </c>
      <c r="C33" s="6" t="s">
        <v>215</v>
      </c>
    </row>
    <row r="34" spans="1:3">
      <c r="B34" s="3" t="s">
        <v>216</v>
      </c>
      <c r="C34" s="6" t="s">
        <v>217</v>
      </c>
    </row>
    <row r="37" spans="1:3">
      <c r="A37" t="s">
        <v>218</v>
      </c>
    </row>
    <row r="38" spans="1:3">
      <c r="A38" s="11" t="s">
        <v>219</v>
      </c>
    </row>
    <row r="39" spans="1:3">
      <c r="A39" s="11" t="s">
        <v>220</v>
      </c>
    </row>
    <row r="40" spans="1:3">
      <c r="A40" t="s">
        <v>221</v>
      </c>
    </row>
    <row r="42" spans="1:3">
      <c r="A42" t="s">
        <v>222</v>
      </c>
    </row>
    <row r="43" spans="1:3">
      <c r="A43" s="11"/>
    </row>
    <row r="44" spans="1:3">
      <c r="A44" s="11" t="s">
        <v>223</v>
      </c>
    </row>
    <row r="45" spans="1:3">
      <c r="A45" s="12" t="s">
        <v>224</v>
      </c>
    </row>
    <row r="47" spans="1:3">
      <c r="A47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1AF7B-FEF6-4828-8271-552716DAF040}">
  <dimension ref="A1:D31"/>
  <sheetViews>
    <sheetView workbookViewId="0">
      <selection activeCell="G21" sqref="G21"/>
    </sheetView>
  </sheetViews>
  <sheetFormatPr defaultRowHeight="14.4"/>
  <cols>
    <col min="2" max="2" width="23.5546875" customWidth="1"/>
    <col min="3" max="3" width="17.21875" customWidth="1"/>
    <col min="4" max="4" width="21.109375" customWidth="1"/>
  </cols>
  <sheetData>
    <row r="1" spans="1:4">
      <c r="A1" s="4" t="s">
        <v>143</v>
      </c>
      <c r="B1" s="5" t="s">
        <v>144</v>
      </c>
      <c r="C1" s="5" t="s">
        <v>145</v>
      </c>
      <c r="D1" s="4" t="s">
        <v>146</v>
      </c>
    </row>
    <row r="2" spans="1:4">
      <c r="A2" s="3">
        <v>1</v>
      </c>
      <c r="B2" s="6" t="s">
        <v>147</v>
      </c>
      <c r="C2" s="7" t="s">
        <v>148</v>
      </c>
      <c r="D2" s="8">
        <v>1019500</v>
      </c>
    </row>
    <row r="3" spans="1:4">
      <c r="A3" s="3">
        <v>2</v>
      </c>
      <c r="B3" s="6" t="s">
        <v>149</v>
      </c>
      <c r="C3" s="7" t="s">
        <v>150</v>
      </c>
      <c r="D3" s="8">
        <v>443500</v>
      </c>
    </row>
    <row r="4" spans="1:4">
      <c r="A4" s="3">
        <v>2</v>
      </c>
      <c r="B4" s="6" t="s">
        <v>151</v>
      </c>
      <c r="C4" s="7" t="s">
        <v>150</v>
      </c>
      <c r="D4" s="8">
        <v>89500</v>
      </c>
    </row>
    <row r="5" spans="1:4">
      <c r="A5" s="3">
        <v>2</v>
      </c>
      <c r="B5" s="6" t="s">
        <v>152</v>
      </c>
      <c r="C5" s="7" t="s">
        <v>150</v>
      </c>
      <c r="D5" s="8">
        <v>77500</v>
      </c>
    </row>
    <row r="6" spans="1:4">
      <c r="A6" s="3">
        <v>2</v>
      </c>
      <c r="B6" s="6" t="s">
        <v>153</v>
      </c>
      <c r="C6" s="7" t="s">
        <v>150</v>
      </c>
      <c r="D6" s="8">
        <v>179000</v>
      </c>
    </row>
    <row r="7" spans="1:4">
      <c r="A7" s="3">
        <v>2</v>
      </c>
      <c r="B7" s="6" t="s">
        <v>154</v>
      </c>
      <c r="C7" s="7" t="s">
        <v>150</v>
      </c>
      <c r="D7" s="8">
        <v>230000</v>
      </c>
    </row>
    <row r="8" spans="1:4">
      <c r="A8" s="3">
        <v>3</v>
      </c>
      <c r="B8" s="6" t="s">
        <v>155</v>
      </c>
      <c r="C8" s="7" t="s">
        <v>156</v>
      </c>
      <c r="D8" s="4">
        <v>10</v>
      </c>
    </row>
    <row r="9" spans="1:4">
      <c r="A9" s="3">
        <v>3</v>
      </c>
      <c r="B9" s="6" t="s">
        <v>157</v>
      </c>
      <c r="C9" s="7" t="s">
        <v>156</v>
      </c>
      <c r="D9" s="4">
        <v>7</v>
      </c>
    </row>
    <row r="10" spans="1:4">
      <c r="A10" s="3">
        <v>3</v>
      </c>
      <c r="B10" s="6" t="s">
        <v>158</v>
      </c>
      <c r="C10" s="7" t="s">
        <v>156</v>
      </c>
      <c r="D10" s="4">
        <v>8</v>
      </c>
    </row>
    <row r="11" spans="1:4">
      <c r="A11" s="3">
        <v>3</v>
      </c>
      <c r="B11" s="6" t="s">
        <v>159</v>
      </c>
      <c r="C11" s="7" t="s">
        <v>156</v>
      </c>
      <c r="D11" s="4">
        <v>7</v>
      </c>
    </row>
    <row r="12" spans="1:4">
      <c r="A12" s="3">
        <v>3</v>
      </c>
      <c r="B12" s="6" t="s">
        <v>160</v>
      </c>
      <c r="C12" s="7" t="s">
        <v>156</v>
      </c>
      <c r="D12" s="4">
        <v>8</v>
      </c>
    </row>
    <row r="13" spans="1:4">
      <c r="A13" s="3">
        <v>4</v>
      </c>
      <c r="B13" s="6" t="s">
        <v>161</v>
      </c>
      <c r="C13" s="7" t="s">
        <v>162</v>
      </c>
      <c r="D13" s="8">
        <v>44350</v>
      </c>
    </row>
    <row r="14" spans="1:4">
      <c r="A14" s="3">
        <v>4</v>
      </c>
      <c r="B14" s="6" t="s">
        <v>163</v>
      </c>
      <c r="C14" s="7" t="s">
        <v>162</v>
      </c>
      <c r="D14" s="9">
        <v>12785.71</v>
      </c>
    </row>
    <row r="15" spans="1:4">
      <c r="A15" s="3">
        <v>4</v>
      </c>
      <c r="B15" s="6" t="s">
        <v>164</v>
      </c>
      <c r="C15" s="7" t="s">
        <v>162</v>
      </c>
      <c r="D15" s="9">
        <v>9687.5</v>
      </c>
    </row>
    <row r="16" spans="1:4">
      <c r="A16" s="3">
        <v>4</v>
      </c>
      <c r="B16" s="6" t="s">
        <v>165</v>
      </c>
      <c r="C16" s="7" t="s">
        <v>162</v>
      </c>
      <c r="D16" s="9">
        <v>25571.43</v>
      </c>
    </row>
    <row r="17" spans="1:4">
      <c r="A17" s="3">
        <v>4</v>
      </c>
      <c r="B17" s="6" t="s">
        <v>166</v>
      </c>
      <c r="C17" s="7" t="s">
        <v>162</v>
      </c>
      <c r="D17" s="8">
        <v>28750</v>
      </c>
    </row>
    <row r="18" spans="1:4">
      <c r="A18" s="3">
        <v>5</v>
      </c>
      <c r="B18" s="6" t="s">
        <v>167</v>
      </c>
      <c r="C18" s="7" t="s">
        <v>150</v>
      </c>
      <c r="D18" s="8">
        <v>499500</v>
      </c>
    </row>
    <row r="19" spans="1:4">
      <c r="A19" s="3">
        <v>6</v>
      </c>
      <c r="B19" s="6" t="s">
        <v>168</v>
      </c>
      <c r="C19" s="7" t="s">
        <v>156</v>
      </c>
      <c r="D19" s="4">
        <v>10</v>
      </c>
    </row>
    <row r="20" spans="1:4">
      <c r="A20" s="3">
        <v>7</v>
      </c>
      <c r="B20" s="6" t="s">
        <v>169</v>
      </c>
      <c r="C20" s="7" t="s">
        <v>150</v>
      </c>
      <c r="D20" s="8">
        <v>344500</v>
      </c>
    </row>
    <row r="21" spans="1:4">
      <c r="A21" s="3">
        <v>8</v>
      </c>
      <c r="B21" s="6" t="s">
        <v>170</v>
      </c>
      <c r="C21" s="7" t="s">
        <v>171</v>
      </c>
      <c r="D21" s="8">
        <v>275500</v>
      </c>
    </row>
    <row r="22" spans="1:4">
      <c r="A22" s="3">
        <v>9</v>
      </c>
      <c r="B22" s="6" t="s">
        <v>172</v>
      </c>
      <c r="C22" s="7" t="s">
        <v>173</v>
      </c>
      <c r="D22" s="4">
        <v>4</v>
      </c>
    </row>
    <row r="23" spans="1:4">
      <c r="A23" s="3">
        <v>10</v>
      </c>
      <c r="B23" s="6" t="s">
        <v>174</v>
      </c>
      <c r="C23" s="7" t="s">
        <v>162</v>
      </c>
      <c r="D23" s="9">
        <v>25766.67</v>
      </c>
    </row>
    <row r="24" spans="1:4">
      <c r="A24" s="3">
        <v>11</v>
      </c>
      <c r="B24" s="6" t="s">
        <v>175</v>
      </c>
      <c r="C24" s="7" t="s">
        <v>156</v>
      </c>
      <c r="D24" s="4">
        <v>9</v>
      </c>
    </row>
    <row r="25" spans="1:4">
      <c r="A25" s="3">
        <v>12</v>
      </c>
      <c r="B25" s="6" t="s">
        <v>176</v>
      </c>
      <c r="C25" s="7" t="s">
        <v>150</v>
      </c>
      <c r="D25" s="8">
        <v>508000</v>
      </c>
    </row>
    <row r="26" spans="1:4">
      <c r="A26" s="3">
        <v>13</v>
      </c>
      <c r="B26" s="6" t="s">
        <v>177</v>
      </c>
      <c r="C26" s="7" t="s">
        <v>156</v>
      </c>
      <c r="D26" s="4">
        <v>11</v>
      </c>
    </row>
    <row r="27" spans="1:4">
      <c r="A27" s="3">
        <v>14</v>
      </c>
      <c r="B27" s="6" t="s">
        <v>178</v>
      </c>
      <c r="C27" s="7" t="s">
        <v>150</v>
      </c>
      <c r="D27" s="8">
        <v>582000</v>
      </c>
    </row>
    <row r="28" spans="1:4">
      <c r="A28" s="3">
        <v>15</v>
      </c>
      <c r="B28" s="6" t="s">
        <v>179</v>
      </c>
      <c r="C28" s="7" t="s">
        <v>171</v>
      </c>
      <c r="D28" s="8">
        <v>320000</v>
      </c>
    </row>
    <row r="29" spans="1:4" ht="28.8">
      <c r="A29" s="3">
        <v>16</v>
      </c>
      <c r="B29" s="6" t="s">
        <v>180</v>
      </c>
      <c r="C29" s="7" t="s">
        <v>162</v>
      </c>
      <c r="D29" s="4" t="s">
        <v>181</v>
      </c>
    </row>
    <row r="30" spans="1:4">
      <c r="A30" s="3">
        <v>17</v>
      </c>
      <c r="B30" s="6" t="s">
        <v>182</v>
      </c>
      <c r="C30" s="7" t="s">
        <v>183</v>
      </c>
      <c r="D30" s="8">
        <v>76000</v>
      </c>
    </row>
    <row r="31" spans="1:4">
      <c r="A31" s="3">
        <v>18</v>
      </c>
      <c r="B31" s="6" t="s">
        <v>184</v>
      </c>
      <c r="C31" s="7" t="s">
        <v>185</v>
      </c>
      <c r="D31" s="8">
        <v>12500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Patient_Data</vt:lpstr>
      <vt:lpstr>Questions</vt:lpstr>
      <vt:lpstr>Answers</vt:lpstr>
      <vt:lpstr>Bills</vt:lpstr>
      <vt:lpstr>Department</vt:lpstr>
      <vt:lpstr>Dept</vt:lpstr>
      <vt:lpstr>Gender</vt:lpstr>
      <vt:lpstr>Insurance</vt:lpstr>
      <vt:lpstr>Stay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MANSOOR RESH</cp:lastModifiedBy>
  <dcterms:created xsi:type="dcterms:W3CDTF">2026-09-09T05:55:57Z</dcterms:created>
  <dcterms:modified xsi:type="dcterms:W3CDTF">2026-10-27T05:05:56Z</dcterms:modified>
</cp:coreProperties>
</file>